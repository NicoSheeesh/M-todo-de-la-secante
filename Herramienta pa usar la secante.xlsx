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ic\Downloads\"/>
    </mc:Choice>
  </mc:AlternateContent>
  <xr:revisionPtr revIDLastSave="0" documentId="8_{868F93BA-DA52-4E2F-8145-DB3DAABF47AF}" xr6:coauthVersionLast="47" xr6:coauthVersionMax="47" xr10:uidLastSave="{00000000-0000-0000-0000-000000000000}"/>
  <bookViews>
    <workbookView xWindow="14295" yWindow="0" windowWidth="14610" windowHeight="15585" xr2:uid="{6BDAFA42-E4D3-449C-981D-2B4B59F535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B3" i="1"/>
  <c r="D3" i="1" s="1"/>
  <c r="A3" i="1"/>
  <c r="E2" i="1"/>
  <c r="D2" i="1"/>
  <c r="F2" i="1" s="1" a="1"/>
  <c r="F2" i="1" s="1"/>
  <c r="G2" i="1" l="1"/>
  <c r="C3" i="1"/>
  <c r="E3" i="1" l="1"/>
  <c r="F3" i="1" s="1" a="1"/>
  <c r="F3" i="1" s="1"/>
  <c r="B4" i="1"/>
  <c r="D4" i="1" s="1"/>
  <c r="C4" i="1" l="1"/>
  <c r="G3" i="1"/>
  <c r="E4" i="1" l="1"/>
  <c r="F4" i="1" s="1" a="1"/>
  <c r="F4" i="1" s="1"/>
  <c r="B5" i="1"/>
  <c r="D5" i="1" s="1"/>
  <c r="G4" i="1" l="1"/>
  <c r="C5" i="1"/>
  <c r="B6" i="1" l="1"/>
  <c r="D6" i="1" s="1"/>
  <c r="E5" i="1"/>
  <c r="F5" i="1" s="1" a="1"/>
  <c r="F5" i="1" s="1"/>
  <c r="G5" i="1" l="1"/>
  <c r="C6" i="1"/>
  <c r="E6" i="1" l="1"/>
  <c r="F6" i="1" s="1" a="1"/>
  <c r="F6" i="1" s="1"/>
  <c r="B7" i="1"/>
  <c r="D7" i="1" s="1"/>
  <c r="C7" i="1" l="1"/>
  <c r="G6" i="1"/>
  <c r="E7" i="1" l="1"/>
  <c r="F7" i="1" s="1" a="1"/>
  <c r="F7" i="1" s="1"/>
  <c r="B8" i="1"/>
  <c r="D8" i="1" s="1"/>
  <c r="G7" i="1" l="1"/>
  <c r="C8" i="1"/>
  <c r="E8" i="1" l="1"/>
  <c r="F8" i="1" s="1" a="1"/>
  <c r="F8" i="1" s="1"/>
  <c r="G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<sst xmlns="http://schemas.openxmlformats.org/spreadsheetml/2006/main" count="7" uniqueCount="7">
  <si>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x_prev</t>
  </si>
  <si>
    <t>x</t>
  </si>
  <si>
    <t>f(x_prev)</t>
  </si>
  <si>
    <t>f(x)</t>
  </si>
  <si>
    <t>x_next</t>
  </si>
  <si>
    <t>error</t>
  </si>
  <si>
    <t>iteración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</si>
</sst>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6D4B-E180-4677-B53C-C23EB8E4B9FC}">
  <dimension ref="A1:G8"/>
  <sheetViews>
    <sheetView tabSelected="1" workbookViewId="0">
      <selection activeCell="D17" sqref="D17"/>
    </sheetView>
  </sheetViews>
  <sheetFormatPr baseColWidth="10" defaultRowHeight="15" x14ac:dyDescent="0.25"/>
  <cols>
    <col min="6" max="6" width="16.140625" customWidth="1"/>
    <col min="7" max="7" width="14.1406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0</v>
      </c>
      <c r="B2">
        <v>1</v>
      </c>
      <c r="C2">
        <v>2</v>
      </c>
      <c r="D2">
        <f>LN(B2)-2*B2+3</f>
        <v>1</v>
      </c>
      <c r="E2">
        <f>LN(C2)-2*C2+3</f>
        <v>-0.3068528194400546</v>
      </c>
      <c r="F2" cm="1">
        <f t="array" ref="F2">IF(E2-D2=0, _xludf.NA(), C2 - E2*(C2-B2)/(E2-D2))</f>
        <v>1.7651971095172512</v>
      </c>
      <c r="G2">
        <f>ABS(F2-C2)</f>
        <v>0.23480289048274883</v>
      </c>
    </row>
    <row r="3" spans="1:7" x14ac:dyDescent="0.25">
      <c r="A3">
        <f>A2+1</f>
        <v>1</v>
      </c>
      <c r="B3">
        <f>C2</f>
        <v>2</v>
      </c>
      <c r="C3">
        <f>F2</f>
        <v>1.7651971095172512</v>
      </c>
      <c r="D3">
        <f>LN(B3)-2*B3+3</f>
        <v>-0.3068528194400546</v>
      </c>
      <c r="E3">
        <f>LN(C3)-2*C3+3</f>
        <v>3.7868141895682772E-2</v>
      </c>
      <c r="F3" cm="1">
        <f t="array" ref="F3">IF(E3-D3=0, _xludf.NA(), C3 - E3*(C3-B3)/(E3-D3))</f>
        <v>1.7909905777759376</v>
      </c>
      <c r="G3">
        <f>ABS(F3-C3)</f>
        <v>2.5793468258686447E-2</v>
      </c>
    </row>
    <row r="4" spans="1:7" x14ac:dyDescent="0.25">
      <c r="A4">
        <f t="shared" ref="A4:A10" si="0">A3+1</f>
        <v>2</v>
      </c>
      <c r="B4">
        <f t="shared" ref="B4:B10" si="1">C3</f>
        <v>1.7651971095172512</v>
      </c>
      <c r="C4">
        <f t="shared" ref="C4:C10" si="2">F3</f>
        <v>1.7909905777759376</v>
      </c>
      <c r="D4">
        <f t="shared" ref="D4:D10" si="3">LN(B4)-2*B4+3</f>
        <v>3.7868141895682772E-2</v>
      </c>
      <c r="E4">
        <f t="shared" ref="E4:E10" si="4">LN(C4)-2*C4+3</f>
        <v>7.8770663957117293E-4</v>
      </c>
      <c r="F4" cm="1">
        <f t="array" ref="F4">IF(E4-D4=0, _xludf.NA(), C4 - E4*(C4-B4)/(E4-D4))</f>
        <v>1.7915385132590194</v>
      </c>
      <c r="G4">
        <f t="shared" ref="G4:G10" si="5">ABS(F4-C4)</f>
        <v>5.4793548308174067E-4</v>
      </c>
    </row>
    <row r="5" spans="1:7" x14ac:dyDescent="0.25">
      <c r="A5">
        <f t="shared" si="0"/>
        <v>3</v>
      </c>
      <c r="B5">
        <f t="shared" si="1"/>
        <v>1.7909905777759376</v>
      </c>
      <c r="C5">
        <f t="shared" si="2"/>
        <v>1.7915385132590194</v>
      </c>
      <c r="D5">
        <f t="shared" si="3"/>
        <v>7.8770663957117293E-4</v>
      </c>
      <c r="E5">
        <f t="shared" si="4"/>
        <v>-2.2712139724490044E-6</v>
      </c>
      <c r="F5" cm="1">
        <f t="array" ref="F5">IF(E5-D5=0, _xludf.NA(), C5 - E5*(C5-B5)/(E5-D5))</f>
        <v>1.7915369379253316</v>
      </c>
      <c r="G5">
        <f t="shared" si="5"/>
        <v>1.5753336877200041E-6</v>
      </c>
    </row>
    <row r="6" spans="1:7" x14ac:dyDescent="0.25">
      <c r="A6">
        <f t="shared" si="0"/>
        <v>4</v>
      </c>
      <c r="B6">
        <f t="shared" si="1"/>
        <v>1.7915385132590194</v>
      </c>
      <c r="C6">
        <f t="shared" si="2"/>
        <v>1.7915369379253316</v>
      </c>
      <c r="D6">
        <f t="shared" si="3"/>
        <v>-2.2712139724490044E-6</v>
      </c>
      <c r="E6">
        <f t="shared" si="4"/>
        <v>1.3410916821499086E-10</v>
      </c>
      <c r="F6" cm="1">
        <f t="array" ref="F6">IF(E6-D6=0, _xludf.NA(), C6 - E6*(C6-B6)/(E6-D6))</f>
        <v>1.7915369380183455</v>
      </c>
      <c r="G6">
        <f t="shared" si="5"/>
        <v>9.301381886928084E-11</v>
      </c>
    </row>
    <row r="7" spans="1:7" x14ac:dyDescent="0.25">
      <c r="A7">
        <f t="shared" si="0"/>
        <v>5</v>
      </c>
      <c r="B7">
        <f t="shared" si="1"/>
        <v>1.7915369379253316</v>
      </c>
      <c r="C7">
        <f t="shared" si="2"/>
        <v>1.7915369380183455</v>
      </c>
      <c r="D7">
        <f t="shared" si="3"/>
        <v>1.3410916821499086E-10</v>
      </c>
      <c r="E7">
        <f t="shared" si="4"/>
        <v>0</v>
      </c>
      <c r="F7" cm="1">
        <f t="array" ref="F7">IF(E7-D7=0, _xludf.NA(), C7 - E7*(C7-B7)/(E7-D7))</f>
        <v>1.7915369380183455</v>
      </c>
      <c r="G7">
        <f t="shared" si="5"/>
        <v>0</v>
      </c>
    </row>
    <row r="8" spans="1:7" x14ac:dyDescent="0.25">
      <c r="A8">
        <f t="shared" si="0"/>
        <v>6</v>
      </c>
      <c r="B8">
        <f t="shared" si="1"/>
        <v>1.7915369380183455</v>
      </c>
      <c r="C8">
        <f t="shared" si="2"/>
        <v>1.7915369380183455</v>
      </c>
      <c r="D8">
        <f t="shared" si="3"/>
        <v>0</v>
      </c>
      <c r="E8">
        <f t="shared" si="4"/>
        <v>0</v>
      </c>
      <c r="F8" t="e" cm="1">
        <f t="array" aca="1" ref="F8" ca="1">IF(E8-D8=0, _xludf.NA(), C8 - E8*(C8-B8)/(E8-D8))</f>
        <v>#NAME?</v>
      </c>
      <c r="G8" t="e">
        <f t="shared" ca="1" si="5"/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NICOLAS  FRANCO LOPEZ</dc:creator>
  <cp:lastModifiedBy>JOAN NICOLAS  FRANCO LOPEZ</cp:lastModifiedBy>
  <dcterms:created xsi:type="dcterms:W3CDTF">2025-11-17T02:10:10Z</dcterms:created>
  <dcterms:modified xsi:type="dcterms:W3CDTF">2025-11-17T02:41:02Z</dcterms:modified>
</cp:coreProperties>
</file>